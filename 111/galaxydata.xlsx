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qihan\Desktop\"/>
    </mc:Choice>
  </mc:AlternateContent>
  <xr:revisionPtr revIDLastSave="0" documentId="13_ncr:1_{ECFFCEA6-EF4D-45F2-AA86-8167A41A0B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R2" i="1"/>
  <c r="Q2" i="1"/>
</calcChain>
</file>

<file path=xl/sharedStrings.xml><?xml version="1.0" encoding="utf-8"?>
<sst xmlns="http://schemas.openxmlformats.org/spreadsheetml/2006/main" count="58" uniqueCount="46">
  <si>
    <t>Gal_ID</t>
  </si>
  <si>
    <t>Morphology</t>
  </si>
  <si>
    <t>RA</t>
  </si>
  <si>
    <t>DEC</t>
  </si>
  <si>
    <t>Logr25</t>
  </si>
  <si>
    <t>e_logr25</t>
  </si>
  <si>
    <t>D</t>
  </si>
  <si>
    <t>i</t>
  </si>
  <si>
    <t>Re_kpc</t>
  </si>
  <si>
    <t>log_SFR_MUSE</t>
  </si>
  <si>
    <t>Sc</t>
  </si>
  <si>
    <t>Sbc</t>
  </si>
  <si>
    <t>N7496</t>
  </si>
  <si>
    <t>N5068</t>
  </si>
  <si>
    <t>N4535</t>
  </si>
  <si>
    <t>N4321</t>
  </si>
  <si>
    <t>SABb</t>
  </si>
  <si>
    <t>N4303</t>
  </si>
  <si>
    <t>N4254</t>
  </si>
  <si>
    <t>N3627</t>
  </si>
  <si>
    <t>Sb</t>
  </si>
  <si>
    <t>N3351</t>
  </si>
  <si>
    <t>N2835</t>
  </si>
  <si>
    <t>N1672</t>
  </si>
  <si>
    <t>N1566</t>
  </si>
  <si>
    <t>N1512</t>
  </si>
  <si>
    <t xml:space="preserve">Sa </t>
  </si>
  <si>
    <t>N1433</t>
  </si>
  <si>
    <t>SBa</t>
  </si>
  <si>
    <t>N1385</t>
  </si>
  <si>
    <t>N1365</t>
  </si>
  <si>
    <t>N1300</t>
  </si>
  <si>
    <t>N1087</t>
  </si>
  <si>
    <t>N0628</t>
  </si>
  <si>
    <t>IC5332</t>
  </si>
  <si>
    <t>SABc</t>
  </si>
  <si>
    <t>z</t>
  </si>
  <si>
    <t>0.002995 </t>
  </si>
  <si>
    <t>0.002338 </t>
  </si>
  <si>
    <t>log_M</t>
  </si>
  <si>
    <t>PA_MUSE</t>
  </si>
  <si>
    <t>i_leda</t>
  </si>
  <si>
    <t>asec</t>
  </si>
  <si>
    <t>ALMA</t>
  </si>
  <si>
    <t>rad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</si>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</sst>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topLeftCell="B1" zoomScale="107" workbookViewId="0">
      <selection activeCell="Q22" sqref="Q22"/>
    </sheetView>
  </sheetViews>
  <sheetFormatPr defaultRowHeight="14.4" x14ac:dyDescent="0.3"/>
  <cols>
    <col min="2" max="2" width="13.6640625" customWidth="1"/>
    <col min="9" max="10" width="15.44140625" customWidth="1"/>
    <col min="11" max="11" width="19.44140625" customWidth="1"/>
    <col min="17" max="17" width="12.33203125" bestFit="1" customWidth="1"/>
  </cols>
  <sheetData>
    <row r="1" spans="1:18" x14ac:dyDescent="0.3">
      <c r="A1" s="1" t="s">
        <v>0</v>
      </c>
      <c r="B1" t="s">
        <v>1</v>
      </c>
      <c r="C1" t="s">
        <v>2</v>
      </c>
      <c r="D1" t="s">
        <v>3</v>
      </c>
      <c r="E1" t="s">
        <v>36</v>
      </c>
      <c r="F1" t="s">
        <v>6</v>
      </c>
      <c r="G1" t="s">
        <v>8</v>
      </c>
      <c r="H1" t="s">
        <v>39</v>
      </c>
      <c r="I1" t="s">
        <v>9</v>
      </c>
      <c r="J1" t="s">
        <v>40</v>
      </c>
      <c r="K1" t="s">
        <v>41</v>
      </c>
      <c r="L1" t="s">
        <v>4</v>
      </c>
      <c r="M1" t="s">
        <v>5</v>
      </c>
      <c r="N1" t="s">
        <v>7</v>
      </c>
      <c r="O1" t="s">
        <v>42</v>
      </c>
      <c r="P1" t="s">
        <v>43</v>
      </c>
      <c r="Q1" t="s">
        <v>44</v>
      </c>
      <c r="R1" t="s">
        <v>45</v>
      </c>
    </row>
    <row r="2" spans="1:18" x14ac:dyDescent="0.3">
      <c r="A2" s="1" t="s">
        <v>12</v>
      </c>
      <c r="B2" t="s">
        <v>11</v>
      </c>
      <c r="C2">
        <v>347.44704200000001</v>
      </c>
      <c r="D2">
        <v>-43.427943999999997</v>
      </c>
      <c r="E2">
        <v>5.4999999999999997E-3</v>
      </c>
      <c r="F2">
        <v>18.72</v>
      </c>
      <c r="G2">
        <v>3.8</v>
      </c>
      <c r="H2">
        <v>10</v>
      </c>
      <c r="I2">
        <v>0.35</v>
      </c>
      <c r="J2">
        <v>193.7</v>
      </c>
      <c r="K2">
        <v>52.8</v>
      </c>
      <c r="L2">
        <v>0.2</v>
      </c>
      <c r="M2">
        <v>0.03</v>
      </c>
      <c r="N2">
        <v>52.355492679999998</v>
      </c>
      <c r="O2">
        <v>0.89</v>
      </c>
      <c r="P2">
        <v>1</v>
      </c>
      <c r="Q2">
        <f xml:space="preserve"> 4.84813681*(10^(-6))*O2</f>
        <v>4.3148417609000001E-6</v>
      </c>
      <c r="R2">
        <f>1000000*Q2*F2</f>
        <v>80.773837764047997</v>
      </c>
    </row>
    <row r="3" spans="1:18" x14ac:dyDescent="0.3">
      <c r="A3" s="1" t="s">
        <v>13</v>
      </c>
      <c r="B3" t="s">
        <v>10</v>
      </c>
      <c r="C3">
        <v>199.728375</v>
      </c>
      <c r="D3">
        <v>-21.039110999999998</v>
      </c>
      <c r="E3">
        <v>2.235E-3</v>
      </c>
      <c r="F3">
        <v>5.2</v>
      </c>
      <c r="G3">
        <v>2</v>
      </c>
      <c r="H3">
        <v>9.4</v>
      </c>
      <c r="I3">
        <v>-0.56000000000000005</v>
      </c>
      <c r="J3">
        <v>342.4</v>
      </c>
      <c r="K3">
        <v>27.3</v>
      </c>
      <c r="L3">
        <v>0.05</v>
      </c>
      <c r="M3">
        <v>0.02</v>
      </c>
      <c r="N3">
        <v>27.57195523</v>
      </c>
      <c r="O3">
        <v>1.04</v>
      </c>
      <c r="P3">
        <v>1</v>
      </c>
      <c r="Q3">
        <f t="shared" ref="Q3:Q20" si="0" xml:space="preserve"> 4.84813681*(10^(-6))*O3</f>
        <v>5.0420622824E-6</v>
      </c>
      <c r="R3">
        <f t="shared" ref="R3:R20" si="1">1000000*Q3*F3</f>
        <v>26.218723868480001</v>
      </c>
    </row>
    <row r="4" spans="1:18" x14ac:dyDescent="0.3">
      <c r="A4" s="1" t="s">
        <v>14</v>
      </c>
      <c r="B4" t="s">
        <v>10</v>
      </c>
      <c r="C4">
        <v>188.58462499999999</v>
      </c>
      <c r="D4">
        <v>8.1977499999999992</v>
      </c>
      <c r="E4">
        <v>6.5510000000000004E-3</v>
      </c>
      <c r="F4">
        <v>15.77</v>
      </c>
      <c r="G4">
        <v>6.3</v>
      </c>
      <c r="H4">
        <v>10.53</v>
      </c>
      <c r="I4">
        <v>0.33</v>
      </c>
      <c r="J4">
        <v>179.7</v>
      </c>
      <c r="K4">
        <v>23.8</v>
      </c>
      <c r="L4">
        <v>0.04</v>
      </c>
      <c r="M4">
        <v>0.04</v>
      </c>
      <c r="N4">
        <v>24.747746679999999</v>
      </c>
      <c r="O4">
        <v>0.56000000000000005</v>
      </c>
      <c r="P4">
        <v>1</v>
      </c>
      <c r="Q4">
        <f t="shared" si="0"/>
        <v>2.7149566135999999E-6</v>
      </c>
      <c r="R4">
        <f t="shared" si="1"/>
        <v>42.814865796471999</v>
      </c>
    </row>
    <row r="5" spans="1:18" x14ac:dyDescent="0.3">
      <c r="A5" s="1" t="s">
        <v>15</v>
      </c>
      <c r="B5" t="s">
        <v>16</v>
      </c>
      <c r="C5">
        <v>185.728463</v>
      </c>
      <c r="D5">
        <v>15.821818</v>
      </c>
      <c r="E5">
        <v>5.2399999999999999E-3</v>
      </c>
      <c r="F5">
        <v>15.21</v>
      </c>
      <c r="G5">
        <v>5.5</v>
      </c>
      <c r="H5">
        <v>10.75</v>
      </c>
      <c r="I5">
        <v>0.55000000000000004</v>
      </c>
      <c r="J5">
        <v>156.19999999999999</v>
      </c>
      <c r="K5">
        <v>24</v>
      </c>
      <c r="L5">
        <v>0.04</v>
      </c>
      <c r="M5">
        <v>0.03</v>
      </c>
      <c r="N5">
        <v>24.747746679999999</v>
      </c>
      <c r="O5">
        <v>1.1599999999999999</v>
      </c>
      <c r="P5">
        <v>1</v>
      </c>
      <c r="Q5">
        <f t="shared" si="0"/>
        <v>5.6238386995999993E-6</v>
      </c>
      <c r="R5">
        <f t="shared" si="1"/>
        <v>85.538586620915993</v>
      </c>
    </row>
    <row r="6" spans="1:18" x14ac:dyDescent="0.3">
      <c r="A6" s="1" t="s">
        <v>17</v>
      </c>
      <c r="B6" t="s">
        <v>11</v>
      </c>
      <c r="C6">
        <v>185.47873200000001</v>
      </c>
      <c r="D6">
        <v>4.4736459999999996</v>
      </c>
      <c r="E6">
        <v>5.2240000000000003E-3</v>
      </c>
      <c r="F6">
        <v>16.989999999999998</v>
      </c>
      <c r="G6">
        <v>3.4</v>
      </c>
      <c r="H6">
        <v>10.52</v>
      </c>
      <c r="I6">
        <v>0.73</v>
      </c>
      <c r="J6">
        <v>321.39999999999998</v>
      </c>
      <c r="K6">
        <v>18.100000000000001</v>
      </c>
      <c r="L6">
        <v>0.02</v>
      </c>
      <c r="M6">
        <v>0.04</v>
      </c>
      <c r="N6">
        <v>17.622632490000001</v>
      </c>
      <c r="O6">
        <v>0.78</v>
      </c>
      <c r="P6">
        <v>1</v>
      </c>
      <c r="Q6">
        <f t="shared" si="0"/>
        <v>3.7815467118E-6</v>
      </c>
      <c r="R6">
        <f t="shared" si="1"/>
        <v>64.248478633481994</v>
      </c>
    </row>
    <row r="7" spans="1:18" x14ac:dyDescent="0.3">
      <c r="A7" s="1" t="s">
        <v>18</v>
      </c>
      <c r="B7" t="s">
        <v>10</v>
      </c>
      <c r="C7">
        <v>184.706682</v>
      </c>
      <c r="D7">
        <v>14.416509</v>
      </c>
      <c r="E7">
        <v>8.0260000000000001E-3</v>
      </c>
      <c r="F7">
        <v>13.1</v>
      </c>
      <c r="G7">
        <v>2.4</v>
      </c>
      <c r="H7">
        <v>10.42</v>
      </c>
      <c r="I7">
        <v>0.49</v>
      </c>
      <c r="J7">
        <v>68.099999999999994</v>
      </c>
      <c r="K7">
        <v>20.100000000000001</v>
      </c>
      <c r="L7">
        <v>0.03</v>
      </c>
      <c r="M7">
        <v>0.04</v>
      </c>
      <c r="N7">
        <v>21.507541320000001</v>
      </c>
      <c r="O7">
        <v>0.89</v>
      </c>
      <c r="P7">
        <v>1</v>
      </c>
      <c r="Q7">
        <f t="shared" si="0"/>
        <v>4.3148417609000001E-6</v>
      </c>
      <c r="R7">
        <f t="shared" si="1"/>
        <v>56.52442706779</v>
      </c>
    </row>
    <row r="8" spans="1:18" x14ac:dyDescent="0.3">
      <c r="A8" s="1" t="s">
        <v>19</v>
      </c>
      <c r="B8" t="s">
        <v>20</v>
      </c>
      <c r="C8">
        <v>170.06235100000001</v>
      </c>
      <c r="D8">
        <v>12.991538</v>
      </c>
      <c r="E8">
        <v>2.408E-3</v>
      </c>
      <c r="F8">
        <v>11.32</v>
      </c>
      <c r="G8">
        <v>3.6</v>
      </c>
      <c r="H8">
        <v>10.83</v>
      </c>
      <c r="I8">
        <v>0.57999999999999996</v>
      </c>
      <c r="J8">
        <v>173.1</v>
      </c>
      <c r="K8">
        <v>67.5</v>
      </c>
      <c r="L8">
        <v>0.35</v>
      </c>
      <c r="M8">
        <v>0.04</v>
      </c>
      <c r="N8">
        <v>65.943116149999994</v>
      </c>
      <c r="O8">
        <v>1.05</v>
      </c>
      <c r="P8">
        <v>1</v>
      </c>
      <c r="Q8">
        <f t="shared" si="0"/>
        <v>5.0905436504999997E-6</v>
      </c>
      <c r="R8">
        <f t="shared" si="1"/>
        <v>57.624954123660004</v>
      </c>
    </row>
    <row r="9" spans="1:18" x14ac:dyDescent="0.3">
      <c r="A9" s="1" t="s">
        <v>21</v>
      </c>
      <c r="B9" t="s">
        <v>20</v>
      </c>
      <c r="C9">
        <v>160.99041700000001</v>
      </c>
      <c r="D9">
        <v>11.703806</v>
      </c>
      <c r="E9">
        <v>2.598E-3</v>
      </c>
      <c r="F9">
        <v>9.9600000000000009</v>
      </c>
      <c r="G9">
        <v>3</v>
      </c>
      <c r="H9">
        <v>10.36</v>
      </c>
      <c r="I9">
        <v>0.12</v>
      </c>
      <c r="J9">
        <v>193.2</v>
      </c>
      <c r="K9">
        <v>54.6</v>
      </c>
      <c r="L9">
        <v>0.21</v>
      </c>
      <c r="M9">
        <v>0.04</v>
      </c>
      <c r="N9">
        <v>53.467064800000003</v>
      </c>
      <c r="O9">
        <v>1.05</v>
      </c>
      <c r="P9">
        <v>1</v>
      </c>
      <c r="Q9">
        <f t="shared" si="0"/>
        <v>5.0905436504999997E-6</v>
      </c>
      <c r="R9">
        <f t="shared" si="1"/>
        <v>50.701814758980007</v>
      </c>
    </row>
    <row r="10" spans="1:18" x14ac:dyDescent="0.3">
      <c r="A10" s="1" t="s">
        <v>22</v>
      </c>
      <c r="B10" t="s">
        <v>10</v>
      </c>
      <c r="C10">
        <v>139.47045800000001</v>
      </c>
      <c r="D10">
        <v>-22.354666999999999</v>
      </c>
      <c r="E10">
        <v>2.9589999999999998E-3</v>
      </c>
      <c r="F10">
        <v>12.22</v>
      </c>
      <c r="G10">
        <v>3.3</v>
      </c>
      <c r="H10">
        <v>10</v>
      </c>
      <c r="I10">
        <v>0.09</v>
      </c>
      <c r="J10">
        <v>1</v>
      </c>
      <c r="K10">
        <v>56.2</v>
      </c>
      <c r="L10">
        <v>0.24</v>
      </c>
      <c r="M10">
        <v>0.03</v>
      </c>
      <c r="N10">
        <v>56.585505840000003</v>
      </c>
      <c r="O10">
        <v>1.1499999999999999</v>
      </c>
      <c r="P10">
        <v>1</v>
      </c>
      <c r="Q10">
        <f t="shared" si="0"/>
        <v>5.5753573314999988E-6</v>
      </c>
      <c r="R10">
        <f t="shared" si="1"/>
        <v>68.130866590929983</v>
      </c>
    </row>
    <row r="11" spans="1:18" x14ac:dyDescent="0.3">
      <c r="A11" s="1" t="s">
        <v>23</v>
      </c>
      <c r="B11" t="s">
        <v>20</v>
      </c>
      <c r="C11">
        <v>71.427082999999996</v>
      </c>
      <c r="D11">
        <v>-59.247180999999998</v>
      </c>
      <c r="E11">
        <v>4.4400000000000004E-3</v>
      </c>
      <c r="F11">
        <v>19.399999999999999</v>
      </c>
      <c r="G11">
        <v>3.4</v>
      </c>
      <c r="H11">
        <v>10.73</v>
      </c>
      <c r="I11">
        <v>0.88</v>
      </c>
      <c r="J11">
        <v>134.30000000000001</v>
      </c>
      <c r="K11">
        <v>28.9</v>
      </c>
      <c r="L11">
        <v>0.05</v>
      </c>
      <c r="M11">
        <v>0.03</v>
      </c>
      <c r="N11">
        <v>27.57195523</v>
      </c>
      <c r="O11">
        <v>0.96</v>
      </c>
      <c r="P11">
        <v>1</v>
      </c>
      <c r="Q11">
        <f t="shared" si="0"/>
        <v>4.6542113375999994E-6</v>
      </c>
      <c r="R11">
        <f t="shared" si="1"/>
        <v>90.291699949439987</v>
      </c>
    </row>
    <row r="12" spans="1:18" x14ac:dyDescent="0.3">
      <c r="A12" s="1" t="s">
        <v>24</v>
      </c>
      <c r="B12" t="s">
        <v>16</v>
      </c>
      <c r="C12">
        <v>65.001750000000001</v>
      </c>
      <c r="D12">
        <v>-54.937806000000002</v>
      </c>
      <c r="E12">
        <v>5.0169999999999998E-3</v>
      </c>
      <c r="F12">
        <v>17.690000000000001</v>
      </c>
      <c r="G12">
        <v>3.2</v>
      </c>
      <c r="H12">
        <v>10.78</v>
      </c>
      <c r="I12">
        <v>0.66</v>
      </c>
      <c r="J12">
        <v>214.7</v>
      </c>
      <c r="K12">
        <v>49.1</v>
      </c>
      <c r="L12">
        <v>0.17</v>
      </c>
      <c r="M12">
        <v>0.04</v>
      </c>
      <c r="N12">
        <v>48.765606200000001</v>
      </c>
      <c r="O12">
        <v>0.8</v>
      </c>
      <c r="P12">
        <v>1</v>
      </c>
      <c r="Q12">
        <f t="shared" si="0"/>
        <v>3.8785094479999998E-6</v>
      </c>
      <c r="R12">
        <f t="shared" si="1"/>
        <v>68.610832135120006</v>
      </c>
    </row>
    <row r="13" spans="1:18" x14ac:dyDescent="0.3">
      <c r="A13" s="1" t="s">
        <v>25</v>
      </c>
      <c r="B13" t="s">
        <v>26</v>
      </c>
      <c r="C13">
        <v>60.976166999999997</v>
      </c>
      <c r="D13">
        <v>-43.348860999999999</v>
      </c>
      <c r="E13" t="s">
        <v>37</v>
      </c>
      <c r="F13">
        <v>18.829999999999998</v>
      </c>
      <c r="G13">
        <v>4.8</v>
      </c>
      <c r="H13">
        <v>10.71</v>
      </c>
      <c r="I13">
        <v>0.11</v>
      </c>
      <c r="J13">
        <v>261.89999999999998</v>
      </c>
      <c r="K13">
        <v>68.3</v>
      </c>
      <c r="L13">
        <v>0.32</v>
      </c>
      <c r="M13">
        <v>0.04</v>
      </c>
      <c r="N13">
        <v>63.652911410000002</v>
      </c>
      <c r="O13">
        <v>1.25</v>
      </c>
      <c r="P13">
        <v>1</v>
      </c>
      <c r="Q13">
        <f t="shared" si="0"/>
        <v>6.0601710124999996E-6</v>
      </c>
      <c r="R13">
        <f t="shared" si="1"/>
        <v>114.11302016537498</v>
      </c>
    </row>
    <row r="14" spans="1:18" x14ac:dyDescent="0.3">
      <c r="A14" s="1" t="s">
        <v>27</v>
      </c>
      <c r="B14" t="s">
        <v>28</v>
      </c>
      <c r="C14">
        <v>55.506458000000002</v>
      </c>
      <c r="D14">
        <v>-47.222082999999998</v>
      </c>
      <c r="E14">
        <v>3.5890000000000002E-3</v>
      </c>
      <c r="F14">
        <v>18.63</v>
      </c>
      <c r="G14">
        <v>4.3</v>
      </c>
      <c r="H14">
        <v>10.87</v>
      </c>
      <c r="I14">
        <v>0.05</v>
      </c>
      <c r="J14">
        <v>199.7</v>
      </c>
      <c r="K14">
        <v>67.400000000000006</v>
      </c>
      <c r="L14">
        <v>0.32</v>
      </c>
      <c r="M14">
        <v>0.03</v>
      </c>
      <c r="N14">
        <v>63.652911410000002</v>
      </c>
      <c r="O14">
        <v>0.91</v>
      </c>
      <c r="P14">
        <v>1</v>
      </c>
      <c r="Q14">
        <f t="shared" si="0"/>
        <v>4.4118044971000002E-6</v>
      </c>
      <c r="R14">
        <f t="shared" si="1"/>
        <v>82.191917780973</v>
      </c>
    </row>
    <row r="15" spans="1:18" x14ac:dyDescent="0.3">
      <c r="A15" s="1" t="s">
        <v>29</v>
      </c>
      <c r="B15" t="s">
        <v>10</v>
      </c>
      <c r="C15">
        <v>54.370199999999997</v>
      </c>
      <c r="D15">
        <v>-24.500298999999998</v>
      </c>
      <c r="E15">
        <v>4.993E-3</v>
      </c>
      <c r="F15">
        <v>17.22</v>
      </c>
      <c r="G15">
        <v>3.4</v>
      </c>
      <c r="H15">
        <v>9.98</v>
      </c>
      <c r="I15">
        <v>0.32</v>
      </c>
      <c r="J15">
        <v>181.3</v>
      </c>
      <c r="K15">
        <v>52.3</v>
      </c>
      <c r="L15">
        <v>0.2</v>
      </c>
      <c r="M15">
        <v>0.03</v>
      </c>
      <c r="N15">
        <v>52.355492679999998</v>
      </c>
      <c r="O15">
        <v>0.77</v>
      </c>
      <c r="P15">
        <v>1</v>
      </c>
      <c r="Q15">
        <f t="shared" si="0"/>
        <v>3.7330653436999999E-6</v>
      </c>
      <c r="R15">
        <f t="shared" si="1"/>
        <v>64.283385218513999</v>
      </c>
    </row>
    <row r="16" spans="1:18" x14ac:dyDescent="0.3">
      <c r="A16" s="1" t="s">
        <v>30</v>
      </c>
      <c r="B16" t="s">
        <v>20</v>
      </c>
      <c r="C16">
        <v>53.401547999999998</v>
      </c>
      <c r="D16">
        <v>-36.140402000000002</v>
      </c>
      <c r="E16">
        <v>5.457E-3</v>
      </c>
      <c r="F16">
        <v>19.57</v>
      </c>
      <c r="G16">
        <v>2.8</v>
      </c>
      <c r="H16">
        <v>10.99</v>
      </c>
      <c r="I16">
        <v>1.23</v>
      </c>
      <c r="J16">
        <v>201.1</v>
      </c>
      <c r="K16">
        <v>62.6</v>
      </c>
      <c r="L16">
        <v>0.28999999999999998</v>
      </c>
      <c r="M16">
        <v>0.04</v>
      </c>
      <c r="N16">
        <v>61.184192830000001</v>
      </c>
      <c r="O16">
        <v>1.1499999999999999</v>
      </c>
      <c r="P16">
        <v>1</v>
      </c>
      <c r="Q16">
        <f t="shared" si="0"/>
        <v>5.5753573314999988E-6</v>
      </c>
      <c r="R16">
        <f t="shared" si="1"/>
        <v>109.10974297745497</v>
      </c>
    </row>
    <row r="17" spans="1:18" x14ac:dyDescent="0.3">
      <c r="A17" s="1" t="s">
        <v>31</v>
      </c>
      <c r="B17" t="s">
        <v>11</v>
      </c>
      <c r="C17">
        <v>49.921166999999997</v>
      </c>
      <c r="D17">
        <v>-19.411360999999999</v>
      </c>
      <c r="E17">
        <v>5.2639999999999996E-3</v>
      </c>
      <c r="F17">
        <v>18.989999999999998</v>
      </c>
      <c r="G17">
        <v>6.5</v>
      </c>
      <c r="H17">
        <v>10.62</v>
      </c>
      <c r="I17">
        <v>7.0000000000000007E-2</v>
      </c>
      <c r="J17">
        <v>278</v>
      </c>
      <c r="K17">
        <v>61.8</v>
      </c>
      <c r="L17">
        <v>0.28999999999999998</v>
      </c>
      <c r="M17">
        <v>0.03</v>
      </c>
      <c r="N17">
        <v>61.184192830000001</v>
      </c>
      <c r="O17">
        <v>0.89</v>
      </c>
      <c r="P17">
        <v>1</v>
      </c>
      <c r="Q17">
        <f t="shared" si="0"/>
        <v>4.3148417609000001E-6</v>
      </c>
      <c r="R17">
        <f t="shared" si="1"/>
        <v>81.938845039491</v>
      </c>
    </row>
    <row r="18" spans="1:18" x14ac:dyDescent="0.3">
      <c r="A18" s="1" t="s">
        <v>32</v>
      </c>
      <c r="B18" t="s">
        <v>10</v>
      </c>
      <c r="C18">
        <v>41.604852000000001</v>
      </c>
      <c r="D18">
        <v>-0.49864900000000001</v>
      </c>
      <c r="E18">
        <v>5.0800000000000003E-3</v>
      </c>
      <c r="F18">
        <v>15.85</v>
      </c>
      <c r="G18">
        <v>3</v>
      </c>
      <c r="H18">
        <v>9.93</v>
      </c>
      <c r="I18">
        <v>0.12</v>
      </c>
      <c r="J18">
        <v>359.1</v>
      </c>
      <c r="K18">
        <v>54.1</v>
      </c>
      <c r="L18">
        <v>0.22</v>
      </c>
      <c r="M18">
        <v>0.02</v>
      </c>
      <c r="N18">
        <v>54.54099093</v>
      </c>
      <c r="O18">
        <v>0.92</v>
      </c>
      <c r="P18">
        <v>1</v>
      </c>
      <c r="Q18">
        <f t="shared" si="0"/>
        <v>4.4602858651999999E-6</v>
      </c>
      <c r="R18">
        <f t="shared" si="1"/>
        <v>70.695530963419984</v>
      </c>
    </row>
    <row r="19" spans="1:18" x14ac:dyDescent="0.3">
      <c r="A19" s="1" t="s">
        <v>33</v>
      </c>
      <c r="B19" t="s">
        <v>10</v>
      </c>
      <c r="C19">
        <v>24.173946000000001</v>
      </c>
      <c r="D19">
        <v>15.783662</v>
      </c>
      <c r="E19">
        <v>2.1919999999999999E-3</v>
      </c>
      <c r="F19">
        <v>9.84</v>
      </c>
      <c r="G19">
        <v>3.9</v>
      </c>
      <c r="H19">
        <v>10.34</v>
      </c>
      <c r="I19">
        <v>0.24</v>
      </c>
      <c r="J19">
        <v>20.7</v>
      </c>
      <c r="K19">
        <v>19.8</v>
      </c>
      <c r="L19">
        <v>0.03</v>
      </c>
      <c r="M19">
        <v>0.04</v>
      </c>
      <c r="N19">
        <v>21.507541320000001</v>
      </c>
      <c r="O19">
        <v>0.92</v>
      </c>
      <c r="P19">
        <v>1</v>
      </c>
      <c r="Q19">
        <f t="shared" si="0"/>
        <v>4.4602858651999999E-6</v>
      </c>
      <c r="R19">
        <f t="shared" si="1"/>
        <v>43.889212913567995</v>
      </c>
    </row>
    <row r="20" spans="1:18" x14ac:dyDescent="0.3">
      <c r="A20" s="1" t="s">
        <v>34</v>
      </c>
      <c r="B20" t="s">
        <v>35</v>
      </c>
      <c r="C20">
        <v>353.61454199999997</v>
      </c>
      <c r="D20">
        <v>-36.101083000000003</v>
      </c>
      <c r="E20" t="s">
        <v>38</v>
      </c>
      <c r="F20">
        <v>9.01</v>
      </c>
      <c r="G20">
        <v>3.6</v>
      </c>
      <c r="H20">
        <v>9.67</v>
      </c>
      <c r="I20">
        <v>-0.39</v>
      </c>
      <c r="J20">
        <v>74.400000000000006</v>
      </c>
      <c r="K20">
        <v>18.600000000000001</v>
      </c>
      <c r="L20">
        <v>0.02</v>
      </c>
      <c r="M20">
        <v>0.03</v>
      </c>
      <c r="N20">
        <v>17.622632490000001</v>
      </c>
      <c r="O20">
        <v>0.87</v>
      </c>
      <c r="P20">
        <v>0</v>
      </c>
      <c r="Q20">
        <f t="shared" si="0"/>
        <v>4.2178790246999999E-6</v>
      </c>
      <c r="R20">
        <f t="shared" si="1"/>
        <v>38.003090012546998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Qhan Zou</dc:creator>
  <cp:lastModifiedBy>Qihan Zou</cp:lastModifiedBy>
  <dcterms:created xsi:type="dcterms:W3CDTF">2015-06-05T18:17:20Z</dcterms:created>
  <dcterms:modified xsi:type="dcterms:W3CDTF">2025-02-11T22:27:26Z</dcterms:modified>
</cp:coreProperties>
</file>